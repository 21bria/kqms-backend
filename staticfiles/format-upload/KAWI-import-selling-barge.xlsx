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files/format-upload/"/>
    </mc:Choice>
  </mc:AlternateContent>
  <xr:revisionPtr revIDLastSave="0" documentId="13_ncr:1_{1B6C4DCB-2682-EE43-9E13-4A8E24C2223F}" xr6:coauthVersionLast="47" xr6:coauthVersionMax="47" xr10:uidLastSave="{00000000-0000-0000-0000-000000000000}"/>
  <bookViews>
    <workbookView xWindow="0" yWindow="880" windowWidth="36000" windowHeight="20100" xr2:uid="{00000000-000D-0000-FFFF-FFFF00000000}"/>
  </bookViews>
  <sheets>
    <sheet name="import-data" sheetId="3" r:id="rId1"/>
  </sheets>
  <definedNames>
    <definedName name="_xlnm._FilterDatabase" localSheetId="0" hidden="1">'import-data'!$A$1:$Y$3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3" l="1"/>
  <c r="V4" i="3"/>
  <c r="W4" i="3"/>
  <c r="W5" i="3"/>
  <c r="V6" i="3"/>
  <c r="X6" i="3" s="1"/>
  <c r="W6" i="3"/>
  <c r="V7" i="3"/>
  <c r="W7" i="3"/>
  <c r="V2" i="3"/>
  <c r="W2" i="3"/>
  <c r="W3" i="3"/>
  <c r="V3" i="3"/>
  <c r="X5" i="3" l="1"/>
  <c r="Y6" i="3"/>
  <c r="X4" i="3"/>
  <c r="X7" i="3"/>
  <c r="X3" i="3"/>
  <c r="Q2" i="3"/>
  <c r="X2" i="3"/>
  <c r="Y5" i="3" l="1"/>
  <c r="Y7" i="3"/>
  <c r="Y4" i="3"/>
  <c r="Y3" i="3"/>
  <c r="R2" i="3"/>
  <c r="Y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A1" authorId="0" shapeId="0" xr:uid="{A764EA7F-2790-1F4C-BB43-9F8E4BB8E37B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tiba d Jetty</t>
        </r>
      </text>
    </comment>
    <comment ref="B1" authorId="0" shapeId="0" xr:uid="{65349336-9192-7D4A-B519-372B0E18D85A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Hauling dari dome ke Barging</t>
        </r>
      </text>
    </comment>
    <comment ref="D1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Day / Night</t>
        </r>
      </text>
    </comment>
    <comment ref="E1" authorId="0" shapeId="0" xr:uid="{4F671093-4530-6044-945B-CBFFCDC1A5E9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Dumoning DT ke Braging / Tongkang</t>
        </r>
      </text>
    </comment>
    <comment ref="J1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 (Lim Selling)
</t>
        </r>
        <r>
          <rPr>
            <sz val="10"/>
            <color rgb="FF000000"/>
            <rFont val="Tahoma"/>
            <family val="2"/>
          </rPr>
          <t>SAS (SAP Selling)</t>
        </r>
      </text>
    </comment>
    <comment ref="K1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LIM / SAP</t>
        </r>
      </text>
    </comment>
    <comment ref="O1" authorId="0" shapeId="0" xr:uid="{A2765770-3972-0C4F-9FC9-034B0B3A1E8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Kode LOT :
KWL- (LIM)
</t>
        </r>
        <r>
          <rPr>
            <sz val="10"/>
            <color rgb="FF000000"/>
            <rFont val="Tahoma"/>
            <family val="2"/>
          </rPr>
          <t>KWS- (SAP)</t>
        </r>
      </text>
    </comment>
    <comment ref="S1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HPAL / RKEF</t>
        </r>
      </text>
    </comment>
    <comment ref="T1" authorId="0" shapeId="0" xr:uid="{34F93394-A5AD-EC4A-807A-7083D6B21432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Out from Jetty</t>
        </r>
      </text>
    </comment>
  </commentList>
</comments>
</file>

<file path=xl/sharedStrings.xml><?xml version="1.0" encoding="utf-8"?>
<sst xmlns="http://schemas.openxmlformats.org/spreadsheetml/2006/main" count="35" uniqueCount="35">
  <si>
    <t>date_barging_in</t>
  </si>
  <si>
    <t>date_hauling</t>
  </si>
  <si>
    <t>time</t>
  </si>
  <si>
    <t>shift</t>
  </si>
  <si>
    <t>barge_code</t>
  </si>
  <si>
    <t>barge_load_loc</t>
  </si>
  <si>
    <t>barge_unload_loc</t>
  </si>
  <si>
    <t>no_truck</t>
  </si>
  <si>
    <t>sale_code</t>
  </si>
  <si>
    <t>material</t>
  </si>
  <si>
    <t>stockpile</t>
  </si>
  <si>
    <t>dome_ori</t>
  </si>
  <si>
    <t>buyer</t>
  </si>
  <si>
    <t>tonnage</t>
  </si>
  <si>
    <t>sub_lot</t>
  </si>
  <si>
    <t>adjust_sale</t>
  </si>
  <si>
    <t>Day</t>
  </si>
  <si>
    <t>LIS</t>
  </si>
  <si>
    <t>LIM</t>
  </si>
  <si>
    <t>HPAL</t>
  </si>
  <si>
    <t>Jetty IWIP</t>
  </si>
  <si>
    <t>date_barging_out</t>
  </si>
  <si>
    <t>cek_sub_lot</t>
  </si>
  <si>
    <t>count_inc</t>
  </si>
  <si>
    <t>BG-3301</t>
  </si>
  <si>
    <t>Jetty KAWI</t>
  </si>
  <si>
    <t>EFO_02L</t>
  </si>
  <si>
    <t>TSR</t>
  </si>
  <si>
    <t>HNC</t>
  </si>
  <si>
    <t>KWL-00001</t>
  </si>
  <si>
    <t>DT-265</t>
  </si>
  <si>
    <t>code_lot</t>
  </si>
  <si>
    <t>group</t>
  </si>
  <si>
    <t>date_barging_load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</si>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</sst>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\.mm\.ss\ AM/PM"/>
    <numFmt numFmtId="165" formatCode="[$-409]d\-mmm\-yy;@"/>
    <numFmt numFmtId="166" formatCode="hh\.mm"/>
  </numFmts>
  <fonts count="8" x14ac:knownFonts="1">
    <font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29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4" borderId="3" xfId="3" applyFont="1" applyBorder="1" applyAlignment="1">
      <alignment horizontal="left" vertical="center"/>
    </xf>
    <xf numFmtId="0" fontId="6" fillId="3" borderId="3" xfId="2" applyFont="1" applyBorder="1" applyAlignment="1">
      <alignment horizontal="left" vertical="center"/>
    </xf>
    <xf numFmtId="164" fontId="6" fillId="3" borderId="3" xfId="2" applyNumberFormat="1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6" fillId="4" borderId="4" xfId="3" applyFont="1" applyBorder="1" applyAlignment="1">
      <alignment horizontal="left" vertical="center"/>
    </xf>
    <xf numFmtId="165" fontId="0" fillId="0" borderId="5" xfId="0" applyNumberFormat="1" applyBorder="1" applyAlignment="1">
      <alignment horizontal="left" vertical="center"/>
    </xf>
    <xf numFmtId="166" fontId="0" fillId="0" borderId="5" xfId="0" applyNumberFormat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3" borderId="3" xfId="2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6" fillId="5" borderId="3" xfId="2" applyFont="1" applyFill="1" applyBorder="1" applyAlignment="1">
      <alignment horizontal="left" vertical="center"/>
    </xf>
    <xf numFmtId="0" fontId="6" fillId="4" borderId="3" xfId="3" applyFont="1" applyBorder="1" applyAlignment="1">
      <alignment vertical="center"/>
    </xf>
    <xf numFmtId="0" fontId="1" fillId="0" borderId="5" xfId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4" borderId="0" xfId="3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5" fontId="0" fillId="0" borderId="6" xfId="0" applyNumberFormat="1" applyBorder="1" applyAlignment="1">
      <alignment horizontal="left" vertical="center"/>
    </xf>
  </cellXfs>
  <cellStyles count="4">
    <cellStyle name="60% - Accent3" xfId="2" builtinId="40"/>
    <cellStyle name="60% - Accent4" xfId="3" builtinId="44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pane ySplit="1" topLeftCell="A2" activePane="bottomLeft" state="frozen"/>
      <selection pane="bottomLeft" activeCell="T2" sqref="T2:U7"/>
    </sheetView>
  </sheetViews>
  <sheetFormatPr baseColWidth="10" defaultColWidth="11.5" defaultRowHeight="15" x14ac:dyDescent="0.2"/>
  <cols>
    <col min="1" max="1" width="16" style="6" bestFit="1" customWidth="1"/>
    <col min="2" max="2" width="15.33203125" style="6" customWidth="1"/>
    <col min="3" max="3" width="11.1640625" style="3" customWidth="1"/>
    <col min="4" max="4" width="9.6640625" style="4" customWidth="1"/>
    <col min="5" max="5" width="19.1640625" style="6" customWidth="1"/>
    <col min="6" max="6" width="19.1640625" style="4" customWidth="1"/>
    <col min="7" max="7" width="17.83203125" style="6" bestFit="1" customWidth="1"/>
    <col min="8" max="8" width="17.6640625" style="6" customWidth="1"/>
    <col min="9" max="9" width="11" style="6" customWidth="1"/>
    <col min="10" max="10" width="14.6640625" style="6" customWidth="1"/>
    <col min="11" max="11" width="11.6640625" style="6" customWidth="1"/>
    <col min="12" max="12" width="11.5" style="6" customWidth="1"/>
    <col min="13" max="13" width="11.5" style="6"/>
    <col min="14" max="14" width="10.83203125" style="6" customWidth="1"/>
    <col min="15" max="15" width="12.1640625" style="19" customWidth="1"/>
    <col min="16" max="16" width="13.83203125" style="6" customWidth="1"/>
    <col min="17" max="17" width="12.6640625" style="19" customWidth="1"/>
    <col min="18" max="18" width="9" style="6" customWidth="1"/>
    <col min="19" max="19" width="12.5" style="6" customWidth="1"/>
    <col min="20" max="20" width="18.5" style="6" customWidth="1"/>
    <col min="21" max="21" width="10.1640625" style="6" customWidth="1"/>
    <col min="22" max="22" width="12.1640625" style="6" customWidth="1"/>
    <col min="23" max="23" width="8.1640625" style="6" customWidth="1"/>
    <col min="24" max="24" width="12.1640625" style="6" customWidth="1"/>
    <col min="25" max="25" width="12.5" style="4" customWidth="1"/>
    <col min="26" max="26" width="11.5" style="4"/>
    <col min="27" max="27" width="13" style="4" bestFit="1" customWidth="1"/>
    <col min="28" max="16384" width="11.5" style="4"/>
  </cols>
  <sheetData>
    <row r="1" spans="1:25" s="2" customFormat="1" ht="21" customHeight="1" x14ac:dyDescent="0.2">
      <c r="A1" s="7" t="s">
        <v>0</v>
      </c>
      <c r="B1" s="8" t="s">
        <v>1</v>
      </c>
      <c r="C1" s="9" t="s">
        <v>2</v>
      </c>
      <c r="D1" s="10" t="s">
        <v>3</v>
      </c>
      <c r="E1" s="7" t="s">
        <v>33</v>
      </c>
      <c r="F1" s="10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17" t="s">
        <v>31</v>
      </c>
      <c r="P1" s="20" t="s">
        <v>13</v>
      </c>
      <c r="Q1" s="21" t="s">
        <v>14</v>
      </c>
      <c r="R1" s="7" t="s">
        <v>32</v>
      </c>
      <c r="S1" s="8" t="s">
        <v>15</v>
      </c>
      <c r="T1" s="11" t="s">
        <v>21</v>
      </c>
      <c r="U1" s="26" t="s">
        <v>34</v>
      </c>
      <c r="V1" s="23" t="s">
        <v>22</v>
      </c>
      <c r="W1" s="23"/>
      <c r="X1" s="23" t="s">
        <v>23</v>
      </c>
      <c r="Y1" s="5"/>
    </row>
    <row r="2" spans="1:25" s="2" customFormat="1" ht="16" x14ac:dyDescent="0.2">
      <c r="A2" s="12">
        <v>45869</v>
      </c>
      <c r="B2" s="12">
        <v>45871</v>
      </c>
      <c r="C2" s="13">
        <v>0.38958333333333334</v>
      </c>
      <c r="D2" s="14" t="s">
        <v>16</v>
      </c>
      <c r="E2" s="12">
        <v>45871</v>
      </c>
      <c r="F2" s="15" t="s">
        <v>24</v>
      </c>
      <c r="G2" s="16" t="s">
        <v>25</v>
      </c>
      <c r="H2" s="16" t="s">
        <v>20</v>
      </c>
      <c r="I2" s="16" t="s">
        <v>30</v>
      </c>
      <c r="J2" s="16" t="s">
        <v>17</v>
      </c>
      <c r="K2" s="16" t="s">
        <v>18</v>
      </c>
      <c r="L2" s="16" t="s">
        <v>27</v>
      </c>
      <c r="M2" s="16" t="s">
        <v>26</v>
      </c>
      <c r="N2" s="16" t="s">
        <v>28</v>
      </c>
      <c r="O2" s="18" t="s">
        <v>29</v>
      </c>
      <c r="P2" s="16">
        <v>30.11</v>
      </c>
      <c r="Q2" s="22" t="str">
        <f>V2</f>
        <v>SL_01</v>
      </c>
      <c r="R2" s="16">
        <f>X2</f>
        <v>1</v>
      </c>
      <c r="S2" s="27" t="s">
        <v>19</v>
      </c>
      <c r="T2" s="28">
        <v>45873</v>
      </c>
      <c r="U2" s="28"/>
      <c r="V2" s="24" t="str">
        <f>"SL_" &amp; TEXT(INT((COUNTIF($O$2:O2,O2)-1)/100)+1,"00")</f>
        <v>SL_01</v>
      </c>
      <c r="W2" s="25" t="str">
        <f>IF(COUNTIF($O$2:O2,O2)&gt;100,"CHECK",IF(COUNTIF($O$2:O2,O2)&lt;1,"CHECK","SL_"&amp;TEXT(INT((COUNTIF($O$2:O2,O2)-1)/100)+1,"00")))</f>
        <v>SL_01</v>
      </c>
      <c r="X2" s="25">
        <f>INT((COUNTIFS($O$2:O2,O2,$V$2:V2,V2)-1)/20)+1</f>
        <v>1</v>
      </c>
      <c r="Y2" s="1" t="str">
        <f>W2 &amp; "-INC_" &amp; TEXT(X2,"00")</f>
        <v>SL_01-INC_01</v>
      </c>
    </row>
    <row r="3" spans="1:25" s="2" customFormat="1" ht="16" x14ac:dyDescent="0.2">
      <c r="A3" s="12"/>
      <c r="B3" s="12"/>
      <c r="C3" s="13"/>
      <c r="D3" s="14"/>
      <c r="E3" s="12"/>
      <c r="F3" s="15"/>
      <c r="G3" s="16"/>
      <c r="H3" s="16"/>
      <c r="I3" s="16"/>
      <c r="J3" s="16"/>
      <c r="K3" s="16"/>
      <c r="L3" s="16"/>
      <c r="M3" s="16"/>
      <c r="N3" s="16"/>
      <c r="O3" s="18"/>
      <c r="P3" s="16"/>
      <c r="Q3" s="22"/>
      <c r="R3" s="16"/>
      <c r="S3" s="27"/>
      <c r="T3" s="28"/>
      <c r="U3" s="28"/>
      <c r="V3" s="24" t="str">
        <f>"SL_" &amp; TEXT(INT((COUNTIF($O$2:O3,O3)-1)/100)+1,"00")</f>
        <v>SL_00</v>
      </c>
      <c r="W3" s="25" t="str">
        <f>IF(COUNTIF($O$2:O3,O3)&gt;100,"CHECK",IF(COUNTIF($O$2:O3,O3)&lt;1,"CHECK","SL_"&amp;TEXT(INT((COUNTIF($O$2:O3,O3)-1)/100)+1,"00")))</f>
        <v>CHECK</v>
      </c>
      <c r="X3" s="25">
        <f>INT((COUNTIFS($O$2:O3,O3,$V$2:V3,V3)-1)/20)+1</f>
        <v>0</v>
      </c>
      <c r="Y3" s="1" t="str">
        <f t="shared" ref="Y3" si="0">W3 &amp; "-INC_" &amp; TEXT(X3,"00")</f>
        <v>CHECK-INC_00</v>
      </c>
    </row>
    <row r="4" spans="1:25" ht="16" x14ac:dyDescent="0.2">
      <c r="A4" s="12"/>
      <c r="B4" s="12"/>
      <c r="C4" s="13"/>
      <c r="D4" s="14"/>
      <c r="E4" s="12"/>
      <c r="F4" s="15"/>
      <c r="G4" s="16"/>
      <c r="H4" s="16"/>
      <c r="I4" s="16"/>
      <c r="J4" s="16"/>
      <c r="K4" s="16"/>
      <c r="L4" s="16"/>
      <c r="M4" s="16"/>
      <c r="N4" s="16"/>
      <c r="O4" s="18"/>
      <c r="P4" s="16"/>
      <c r="Q4" s="22"/>
      <c r="R4" s="16"/>
      <c r="S4" s="27"/>
      <c r="T4" s="28"/>
      <c r="U4" s="28"/>
      <c r="V4" s="24" t="str">
        <f>"SL_" &amp; TEXT(INT((COUNTIF($O$2:O4,O4)-1)/100)+1,"00")</f>
        <v>SL_00</v>
      </c>
      <c r="W4" s="25" t="str">
        <f>IF(COUNTIF($O$2:O4,O4)&gt;100,"CHECK",IF(COUNTIF($O$2:O4,O4)&lt;1,"CHECK","SL_"&amp;TEXT(INT((COUNTIF($O$2:O4,O4)-1)/100)+1,"00")))</f>
        <v>CHECK</v>
      </c>
      <c r="X4" s="25">
        <f>INT((COUNTIFS($O$2:O4,O4,$V$2:V4,V4)-1)/20)+1</f>
        <v>0</v>
      </c>
      <c r="Y4" s="1" t="str">
        <f t="shared" ref="Y4:Y7" si="1">W4 &amp; "-INC_" &amp; TEXT(X4,"00")</f>
        <v>CHECK-INC_00</v>
      </c>
    </row>
    <row r="5" spans="1:25" ht="16" x14ac:dyDescent="0.2">
      <c r="A5" s="12"/>
      <c r="B5" s="12"/>
      <c r="C5" s="13"/>
      <c r="D5" s="14"/>
      <c r="E5" s="12"/>
      <c r="F5" s="15"/>
      <c r="G5" s="16"/>
      <c r="H5" s="16"/>
      <c r="I5" s="16"/>
      <c r="J5" s="16"/>
      <c r="K5" s="16"/>
      <c r="L5" s="16"/>
      <c r="M5" s="16"/>
      <c r="N5" s="16"/>
      <c r="O5" s="18"/>
      <c r="P5" s="16"/>
      <c r="Q5" s="22"/>
      <c r="R5" s="16"/>
      <c r="S5" s="27"/>
      <c r="T5" s="28"/>
      <c r="U5" s="28"/>
      <c r="V5" s="24" t="str">
        <f>"SL_" &amp; TEXT(INT((COUNTIF($O$2:O5,O5)-1)/100)+1,"00")</f>
        <v>SL_00</v>
      </c>
      <c r="W5" s="25" t="str">
        <f>IF(COUNTIF($O$2:O5,O5)&gt;100,"CHECK",IF(COUNTIF($O$2:O5,O5)&lt;1,"CHECK","SL_"&amp;TEXT(INT((COUNTIF($O$2:O5,O5)-1)/100)+1,"00")))</f>
        <v>CHECK</v>
      </c>
      <c r="X5" s="25">
        <f>INT((COUNTIFS($O$2:O5,O5,$V$2:V5,V5)-1)/20)+1</f>
        <v>0</v>
      </c>
      <c r="Y5" s="1" t="str">
        <f t="shared" si="1"/>
        <v>CHECK-INC_00</v>
      </c>
    </row>
    <row r="6" spans="1:25" ht="16" x14ac:dyDescent="0.2">
      <c r="A6" s="12"/>
      <c r="B6" s="12"/>
      <c r="C6" s="13"/>
      <c r="D6" s="14"/>
      <c r="E6" s="12"/>
      <c r="F6" s="15"/>
      <c r="G6" s="16"/>
      <c r="H6" s="16"/>
      <c r="I6" s="16"/>
      <c r="J6" s="16"/>
      <c r="K6" s="16"/>
      <c r="L6" s="16"/>
      <c r="M6" s="16"/>
      <c r="N6" s="16"/>
      <c r="O6" s="18"/>
      <c r="P6" s="16"/>
      <c r="Q6" s="22"/>
      <c r="R6" s="16"/>
      <c r="S6" s="27"/>
      <c r="T6" s="28"/>
      <c r="U6" s="28"/>
      <c r="V6" s="24" t="str">
        <f>"SL_" &amp; TEXT(INT((COUNTIF($O$2:O6,O6)-1)/100)+1,"00")</f>
        <v>SL_00</v>
      </c>
      <c r="W6" s="25" t="str">
        <f>IF(COUNTIF($O$2:O6,O6)&gt;100,"CHECK",IF(COUNTIF($O$2:O6,O6)&lt;1,"CHECK","SL_"&amp;TEXT(INT((COUNTIF($O$2:O6,O6)-1)/100)+1,"00")))</f>
        <v>CHECK</v>
      </c>
      <c r="X6" s="25">
        <f>INT((COUNTIFS($O$2:O6,O6,$V$2:V6,V6)-1)/20)+1</f>
        <v>0</v>
      </c>
      <c r="Y6" s="1" t="str">
        <f t="shared" si="1"/>
        <v>CHECK-INC_00</v>
      </c>
    </row>
    <row r="7" spans="1:25" ht="16" x14ac:dyDescent="0.2">
      <c r="A7" s="12"/>
      <c r="B7" s="12"/>
      <c r="C7" s="13"/>
      <c r="D7" s="14"/>
      <c r="E7" s="12"/>
      <c r="F7" s="15"/>
      <c r="G7" s="16"/>
      <c r="H7" s="16"/>
      <c r="I7" s="16"/>
      <c r="J7" s="16"/>
      <c r="K7" s="16"/>
      <c r="L7" s="16"/>
      <c r="M7" s="16"/>
      <c r="N7" s="16"/>
      <c r="O7" s="18"/>
      <c r="P7" s="16"/>
      <c r="Q7" s="22"/>
      <c r="R7" s="16"/>
      <c r="S7" s="27"/>
      <c r="T7" s="28"/>
      <c r="U7" s="28"/>
      <c r="V7" s="24" t="str">
        <f>"SL_" &amp; TEXT(INT((COUNTIF($O$2:O7,O7)-1)/100)+1,"00")</f>
        <v>SL_00</v>
      </c>
      <c r="W7" s="25" t="str">
        <f>IF(COUNTIF($O$2:O7,O7)&gt;100,"CHECK",IF(COUNTIF($O$2:O7,O7)&lt;1,"CHECK","SL_"&amp;TEXT(INT((COUNTIF($O$2:O7,O7)-1)/100)+1,"00")))</f>
        <v>CHECK</v>
      </c>
      <c r="X7" s="25">
        <f>INT((COUNTIFS($O$2:O7,O7,$V$2:V7,V7)-1)/20)+1</f>
        <v>0</v>
      </c>
      <c r="Y7" s="1" t="str">
        <f t="shared" si="1"/>
        <v>CHECK-INC_00</v>
      </c>
    </row>
  </sheetData>
  <autoFilter ref="A1:Y3" xr:uid="{00000000-0009-0000-0000-000000000000}"/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2025-08-02T13:40:59Z</dcterms:created>
  <dcterms:modified xsi:type="dcterms:W3CDTF">2025-08-31T00:20:19Z</dcterms:modified>
</cp:coreProperties>
</file>